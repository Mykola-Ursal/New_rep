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moke Fast" sheetId="2" state="visible" r:id="rId2"/>
    <sheet name="Break It Tonight" sheetId="3" state="visible" r:id="rId3"/>
    <sheet name="Solana Specif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Mexico Staking (MEX) — QA Master Checklist</t>
        </is>
      </c>
      <c r="B1" s="1" t="n"/>
      <c r="C1" s="1" t="n"/>
      <c r="D1" s="1" t="n"/>
      <c r="E1" s="1" t="n"/>
      <c r="F1" s="1" t="n"/>
      <c r="G1" s="1" t="n"/>
    </row>
    <row r="3">
      <c r="A3" t="inlineStr">
        <is>
          <t>Checklist</t>
        </is>
      </c>
      <c r="B3" t="inlineStr">
        <is>
          <t>Case Count</t>
        </is>
      </c>
      <c r="C3" t="inlineStr">
        <is>
          <t>Not tested</t>
        </is>
      </c>
      <c r="D3" t="inlineStr">
        <is>
          <t>Passed</t>
        </is>
      </c>
      <c r="E3" t="inlineStr">
        <is>
          <t>Failed</t>
        </is>
      </c>
      <c r="F3" t="inlineStr">
        <is>
          <t>Blocked</t>
        </is>
      </c>
      <c r="G3" t="inlineStr">
        <is>
          <t>Skipped</t>
        </is>
      </c>
    </row>
    <row r="4">
      <c r="A4" t="inlineStr">
        <is>
          <t>Smoke Fast</t>
        </is>
      </c>
      <c r="B4" t="n">
        <v>25</v>
      </c>
      <c r="C4">
        <f>COUNTIF('Smoke Fast'!E2:E26,"Not tested")</f>
        <v/>
      </c>
      <c r="D4">
        <f>COUNTIF('Smoke Fast'!E2:E26,"Passed")</f>
        <v/>
      </c>
      <c r="E4">
        <f>COUNTIF('Smoke Fast'!E2:E26,"Failed")</f>
        <v/>
      </c>
      <c r="F4">
        <f>COUNTIF('Smoke Fast'!E2:E26,"Blocked")</f>
        <v/>
      </c>
      <c r="G4">
        <f>COUNTIF('Smoke Fast'!E2:E26,"Skipped")</f>
        <v/>
      </c>
    </row>
    <row r="5">
      <c r="A5" t="inlineStr">
        <is>
          <t>Break It Tonight</t>
        </is>
      </c>
      <c r="B5" t="n">
        <v>28</v>
      </c>
      <c r="C5">
        <f>COUNTIF('Break It Tonight'!E2:E29,"Not tested")</f>
        <v/>
      </c>
      <c r="D5">
        <f>COUNTIF('Break It Tonight'!E2:E29,"Passed")</f>
        <v/>
      </c>
      <c r="E5">
        <f>COUNTIF('Break It Tonight'!E2:E29,"Failed")</f>
        <v/>
      </c>
      <c r="F5">
        <f>COUNTIF('Break It Tonight'!E2:E29,"Blocked")</f>
        <v/>
      </c>
      <c r="G5">
        <f>COUNTIF('Break It Tonight'!E2:E29,"Skipped")</f>
        <v/>
      </c>
    </row>
    <row r="6">
      <c r="A6" t="inlineStr">
        <is>
          <t>Solana Specific</t>
        </is>
      </c>
      <c r="B6" t="n">
        <v>24</v>
      </c>
      <c r="C6">
        <f>COUNTIF('Solana Specific'!E2:E25,"Not tested")</f>
        <v/>
      </c>
      <c r="D6">
        <f>COUNTIF('Solana Specific'!E2:E25,"Passed")</f>
        <v/>
      </c>
      <c r="E6">
        <f>COUNTIF('Solana Specific'!E2:E25,"Failed")</f>
        <v/>
      </c>
      <c r="F6">
        <f>COUNTIF('Solana Specific'!E2:E25,"Blocked")</f>
        <v/>
      </c>
      <c r="G6">
        <f>COUNTIF('Solana Specific'!E2:E25,"Skipped")</f>
        <v/>
      </c>
    </row>
    <row r="8">
      <c r="A8" s="2" t="inlineStr">
        <is>
          <t>Total</t>
        </is>
      </c>
      <c r="B8" s="2">
        <f>SUM(B4:B6)</f>
        <v/>
      </c>
      <c r="C8" s="2">
        <f>SUM(C4:C6)</f>
        <v/>
      </c>
      <c r="D8" s="2">
        <f>SUM(D4:D6)</f>
        <v/>
      </c>
      <c r="E8" s="2">
        <f>SUM(E4:E6)</f>
        <v/>
      </c>
      <c r="F8" s="2">
        <f>SUM(F4:F6)</f>
        <v/>
      </c>
      <c r="G8" s="2">
        <f>SUM(G4:G6)</f>
        <v/>
      </c>
    </row>
    <row r="10">
      <c r="A10" t="inlineStr">
        <is>
          <t>Open findings not part of the original checklists (see bug_reports/):</t>
        </is>
      </c>
    </row>
    <row r="11">
      <c r="A11" t="inlineStr">
        <is>
          <t>BUG-001</t>
        </is>
      </c>
      <c r="B11" t="inlineStr">
        <is>
          <t>Helius RPC API key exposed in plain text query parameter on the front end</t>
        </is>
      </c>
      <c r="C11" t="inlineStr">
        <is>
          <t>Critical</t>
        </is>
      </c>
    </row>
    <row r="12">
      <c r="A12" t="inlineStr">
        <is>
          <t>BUG-002</t>
        </is>
      </c>
      <c r="B12" t="inlineStr">
        <is>
          <t>Verify rounding behavior on small/frequent claims (dust)</t>
        </is>
      </c>
      <c r="C12" t="inlineStr">
        <is>
          <t>Medium — pending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55" customWidth="1" min="4" max="4"/>
    <col width="14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How to test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Priority</t>
        </is>
      </c>
    </row>
    <row r="2">
      <c r="A2" s="3" t="n">
        <v>1</v>
      </c>
      <c r="B2" s="3" t="inlineStr">
        <is>
          <t>Connect Phantom wallet on devnet</t>
        </is>
      </c>
      <c r="C2" s="3" t="inlineStr">
        <is>
          <t>Open mexicoweb-dev.up.railway.app, click "Connect Wallet", select Phantom, approve connection</t>
        </is>
      </c>
      <c r="D2" s="3" t="inlineStr">
        <is>
          <t>Wallet connects successfully, address and SOL balance are shown in the header</t>
        </is>
      </c>
      <c r="E2" s="3" t="inlineStr">
        <is>
          <t>Not tested</t>
        </is>
      </c>
      <c r="F2" s="3" t="inlineStr"/>
    </row>
    <row r="3">
      <c r="A3" s="3" t="n">
        <v>2</v>
      </c>
      <c r="B3" s="3" t="inlineStr">
        <is>
          <t>Switch Phantom network to Devnet</t>
        </is>
      </c>
      <c r="C3" s="3" t="inlineStr">
        <is>
          <t>In Phantom settings, switch active network to Devnet, reload the app</t>
        </is>
      </c>
      <c r="D3" s="3" t="inlineStr">
        <is>
          <t>App detects Devnet and loads pool/position data without errors</t>
        </is>
      </c>
      <c r="E3" s="3" t="inlineStr">
        <is>
          <t>Not tested</t>
        </is>
      </c>
      <c r="F3" s="3" t="inlineStr"/>
    </row>
    <row r="4">
      <c r="A4" s="3" t="n">
        <v>3</v>
      </c>
      <c r="B4" s="3" t="inlineStr">
        <is>
          <t>Fund wallet with devnet SOL</t>
        </is>
      </c>
      <c r="C4" s="3" t="inlineStr">
        <is>
          <t>Use faucet.solana.com (or `solana airdrop`) to send devnet SOL to the connected wallet</t>
        </is>
      </c>
      <c r="D4" s="3" t="inlineStr">
        <is>
          <t>Wallet balance increases by the requested SOL amount within a few seconds</t>
        </is>
      </c>
      <c r="E4" s="3" t="inlineStr">
        <is>
          <t>Not tested</t>
        </is>
      </c>
      <c r="F4" s="3" t="inlineStr"/>
    </row>
    <row r="5">
      <c r="A5" s="3" t="n">
        <v>4</v>
      </c>
      <c r="B5" s="3" t="inlineStr">
        <is>
          <t>Obtain devnet MEX tokens</t>
        </is>
      </c>
      <c r="C5" s="3" t="inlineStr">
        <is>
          <t>Request a transfer from the team dev-wallet (or run the provided mint script) to the test wallet</t>
        </is>
      </c>
      <c r="D5" s="3" t="inlineStr">
        <is>
          <t>Test wallet receives the requested amount of MEX on devnet</t>
        </is>
      </c>
      <c r="E5" s="3" t="inlineStr">
        <is>
          <t>Not tested</t>
        </is>
      </c>
      <c r="F5" s="3" t="inlineStr"/>
    </row>
    <row r="6">
      <c r="A6" s="3" t="n">
        <v>5</v>
      </c>
      <c r="B6" s="3" t="inlineStr">
        <is>
          <t>Add MEX token to Phantom</t>
        </is>
      </c>
      <c r="C6" s="3" t="inlineStr">
        <is>
          <t>In Phantom token list enable the hidden-token toggle for MEX, or add manually by mint address</t>
        </is>
      </c>
      <c r="D6" s="3" t="inlineStr">
        <is>
          <t>MEX balance and logo/ticker are visible in Phantom's asset list</t>
        </is>
      </c>
      <c r="E6" s="3" t="inlineStr">
        <is>
          <t>Not tested</t>
        </is>
      </c>
      <c r="F6" s="3" t="inlineStr"/>
    </row>
    <row r="7">
      <c r="A7" s="3" t="n">
        <v>6</v>
      </c>
      <c r="B7" s="3" t="inlineStr">
        <is>
          <t>Verify pool stats on Stake page load</t>
        </is>
      </c>
      <c r="C7" s="3" t="inlineStr">
        <is>
          <t>Open the Stake page with a wallet connected</t>
        </is>
      </c>
      <c r="D7" s="3" t="inlineStr">
        <is>
          <t>Global cap, currently staked amount, pool occupancy indicator and APR range are displayed and internally consistent (occupied &lt;= cap)</t>
        </is>
      </c>
      <c r="E7" s="3" t="inlineStr">
        <is>
          <t>Not tested</t>
        </is>
      </c>
      <c r="F7" s="3" t="inlineStr"/>
    </row>
    <row r="8">
      <c r="A8" s="3" t="n">
        <v>7</v>
      </c>
      <c r="B8" s="3" t="inlineStr">
        <is>
          <t>Create first staking position at minimum amount</t>
        </is>
      </c>
      <c r="C8" s="3" t="inlineStr">
        <is>
          <t>Enter the minimum allowed stake amount and minimum lock tier, submit the stake transaction, approve in Phantom</t>
        </is>
      </c>
      <c r="D8" s="3" t="inlineStr">
        <is>
          <t>Transaction confirms, a new position appears in "My Positions" with correct amount and lock end date</t>
        </is>
      </c>
      <c r="E8" s="3" t="inlineStr">
        <is>
          <t>Not tested</t>
        </is>
      </c>
      <c r="F8" s="3" t="inlineStr"/>
    </row>
    <row r="9">
      <c r="A9" s="3" t="n">
        <v>8</v>
      </c>
      <c r="B9" s="3" t="inlineStr">
        <is>
          <t>Verify ATA/position account creation on first stake</t>
        </is>
      </c>
      <c r="C9" s="3" t="inlineStr">
        <is>
          <t>After the first stake, inspect the transaction on a devnet explorer</t>
        </is>
      </c>
      <c r="D9" s="3" t="inlineStr">
        <is>
          <t>Instruction creates the position PDA and (if needed) the associated token account for MEX</t>
        </is>
      </c>
      <c r="E9" s="3" t="inlineStr">
        <is>
          <t>Not tested</t>
        </is>
      </c>
      <c r="F9" s="3" t="inlineStr"/>
    </row>
    <row r="10">
      <c r="A10" s="3" t="n">
        <v>9</v>
      </c>
      <c r="B10" s="3" t="inlineStr">
        <is>
          <t>Verify position details match input</t>
        </is>
      </c>
      <c r="C10" s="3" t="inlineStr">
        <is>
          <t>Open the new position card in the UI</t>
        </is>
      </c>
      <c r="D10" s="3" t="inlineStr">
        <is>
          <t>Displayed staked amount, lock duration and start date match what was submitted</t>
        </is>
      </c>
      <c r="E10" s="3" t="inlineStr">
        <is>
          <t>Not tested</t>
        </is>
      </c>
      <c r="F10" s="3" t="inlineStr"/>
    </row>
    <row r="11">
      <c r="A11" s="3" t="n">
        <v>10</v>
      </c>
      <c r="B11" s="3" t="inlineStr">
        <is>
          <t>Perform Day 1 daily check-in</t>
        </is>
      </c>
      <c r="C11" s="3" t="inlineStr">
        <is>
          <t>On the position, click "Check-in" for the first time</t>
        </is>
      </c>
      <c r="D11" s="3" t="inlineStr">
        <is>
          <t>Check-in succeeds, streak counter shows 1, and the current rate reflects the primary-tier starting value</t>
        </is>
      </c>
      <c r="E11" s="3" t="inlineStr">
        <is>
          <t>Not tested</t>
        </is>
      </c>
      <c r="F11" s="3" t="inlineStr"/>
    </row>
    <row r="12">
      <c r="A12" s="3" t="n">
        <v>11</v>
      </c>
      <c r="B12" s="3" t="inlineStr">
        <is>
          <t>Verify check-in cannot be repeated same day</t>
        </is>
      </c>
      <c r="C12" s="3" t="inlineStr">
        <is>
          <t>Click "Check-in" again immediately after a successful check-in</t>
        </is>
      </c>
      <c r="D12" s="3" t="inlineStr">
        <is>
          <t>Action is blocked (button disabled or on-chain rejection) with a clear "already checked in today" message</t>
        </is>
      </c>
      <c r="E12" s="3" t="inlineStr">
        <is>
          <t>Not tested</t>
        </is>
      </c>
      <c r="F12" s="3" t="inlineStr"/>
    </row>
    <row r="13">
      <c r="A13" s="3" t="n">
        <v>12</v>
      </c>
      <c r="B13" s="3" t="inlineStr">
        <is>
          <t>Attempt to unstake before lock period ends</t>
        </is>
      </c>
      <c r="C13" s="3" t="inlineStr">
        <is>
          <t>On a position still inside its lock window, click "Unstake"</t>
        </is>
      </c>
      <c r="D13" s="3" t="inlineStr">
        <is>
          <t>Action is blocked by the UI and/or rejected on-chain</t>
        </is>
      </c>
      <c r="E13" s="3" t="inlineStr">
        <is>
          <t>Not tested</t>
        </is>
      </c>
      <c r="F13" s="3" t="inlineStr"/>
    </row>
    <row r="14">
      <c r="A14" s="3" t="n">
        <v>13</v>
      </c>
      <c r="B14" s="3" t="inlineStr">
        <is>
          <t>Claim rewards while position is still locked</t>
        </is>
      </c>
      <c r="C14" s="3" t="inlineStr">
        <is>
          <t>If claim is allowed mid-lock, click "Claim" on the locked position</t>
        </is>
      </c>
      <c r="D14" s="3" t="inlineStr">
        <is>
          <t>Claimed amount matches the rewards accrued so far according to the displayed rate/formula</t>
        </is>
      </c>
      <c r="E14" s="3" t="inlineStr">
        <is>
          <t>Not tested</t>
        </is>
      </c>
      <c r="F14" s="3" t="inlineStr"/>
    </row>
    <row r="15">
      <c r="A15" s="3" t="n">
        <v>14</v>
      </c>
      <c r="B15" s="3" t="inlineStr">
        <is>
          <t>Verify claim history entry is recorded</t>
        </is>
      </c>
      <c r="C15" s="3" t="inlineStr">
        <is>
          <t>After claiming, open transaction/claim history</t>
        </is>
      </c>
      <c r="D15" s="3" t="inlineStr">
        <is>
          <t>A new entry with the correct amount and timestamp appears in the history list</t>
        </is>
      </c>
      <c r="E15" s="3" t="inlineStr">
        <is>
          <t>Not tested</t>
        </is>
      </c>
      <c r="F15" s="3" t="inlineStr"/>
    </row>
    <row r="16">
      <c r="A16" s="3" t="n">
        <v>15</v>
      </c>
      <c r="B16" s="3" t="inlineStr">
        <is>
          <t>Compound rewards into the existing position</t>
        </is>
      </c>
      <c r="C16" s="3" t="inlineStr">
        <is>
          <t>Click "Compound" on a position with pending rewards</t>
        </is>
      </c>
      <c r="D16" s="3" t="inlineStr">
        <is>
          <t>Position's staked amount increases by the compounded reward amount</t>
        </is>
      </c>
      <c r="E16" s="3" t="inlineStr">
        <is>
          <t>Not tested</t>
        </is>
      </c>
      <c r="F16" s="3" t="inlineStr"/>
    </row>
    <row r="17">
      <c r="A17" s="3" t="n">
        <v>16</v>
      </c>
      <c r="B17" s="3" t="inlineStr">
        <is>
          <t>Verify pool occupancy indicator updates after stake/compound</t>
        </is>
      </c>
      <c r="C17" s="3" t="inlineStr">
        <is>
          <t>Reload the Stake page after compounding</t>
        </is>
      </c>
      <c r="D17" s="3" t="inlineStr">
        <is>
          <t>Pool occupancy percentage reflects the new total staked amount</t>
        </is>
      </c>
      <c r="E17" s="3" t="inlineStr">
        <is>
          <t>Not tested</t>
        </is>
      </c>
      <c r="F17" s="3" t="inlineStr"/>
    </row>
    <row r="18">
      <c r="A18" s="3" t="n">
        <v>17</v>
      </c>
      <c r="B18" s="3" t="inlineStr">
        <is>
          <t>Wait for the minimum lock period to elapse</t>
        </is>
      </c>
      <c r="C18" s="3" t="inlineStr">
        <is>
          <t>Using the minimum lock tier, wait (or fast-forward on a local validator) until the lock end timestamp passes</t>
        </is>
      </c>
      <c r="D18" s="3" t="inlineStr">
        <is>
          <t>Position status changes from "Locked" to "Unlocked"/"Claimable" in the UI</t>
        </is>
      </c>
      <c r="E18" s="3" t="inlineStr">
        <is>
          <t>Not tested</t>
        </is>
      </c>
      <c r="F18" s="3" t="inlineStr"/>
    </row>
    <row r="19">
      <c r="A19" s="3" t="n">
        <v>18</v>
      </c>
      <c r="B19" s="3" t="inlineStr">
        <is>
          <t>Verify unlocked position allows unstake</t>
        </is>
      </c>
      <c r="C19" s="3" t="inlineStr">
        <is>
          <t>Open a position after its lock has elapsed and click "Unstake"</t>
        </is>
      </c>
      <c r="D19" s="3" t="inlineStr">
        <is>
          <t>Unstake transaction is accepted and no longer blocked by the lock check</t>
        </is>
      </c>
      <c r="E19" s="3" t="inlineStr">
        <is>
          <t>Not tested</t>
        </is>
      </c>
      <c r="F19" s="3" t="inlineStr"/>
    </row>
    <row r="20">
      <c r="A20" s="3" t="n">
        <v>19</v>
      </c>
      <c r="B20" s="3" t="inlineStr">
        <is>
          <t>Unstake the full position after unlock</t>
        </is>
      </c>
      <c r="C20" s="3" t="inlineStr">
        <is>
          <t>Submit a full unstake for the unlocked position, approve in Phantom</t>
        </is>
      </c>
      <c r="D20" s="3" t="inlineStr">
        <is>
          <t>Transaction confirms</t>
        </is>
      </c>
      <c r="E20" s="3" t="inlineStr">
        <is>
          <t>Not tested</t>
        </is>
      </c>
      <c r="F20" s="3" t="inlineStr"/>
    </row>
    <row r="21">
      <c r="A21" s="3" t="n">
        <v>20</v>
      </c>
      <c r="B21" s="3" t="inlineStr">
        <is>
          <t>Verify auto-compound-at-unlock behavior</t>
        </is>
      </c>
      <c r="C21" s="3" t="inlineStr">
        <is>
          <t>Let pending rewards accumulate on a position, then let it reach unlock without manually compounding</t>
        </is>
      </c>
      <c r="D21" s="3" t="inlineStr">
        <is>
          <t>At unlock, rewards are automatically compounded/settled per design before/at the unstake step, matching the documented behavior</t>
        </is>
      </c>
      <c r="E21" s="3" t="inlineStr">
        <is>
          <t>Not tested</t>
        </is>
      </c>
      <c r="F21" s="3" t="inlineStr"/>
    </row>
    <row r="22">
      <c r="A22" s="3" t="n">
        <v>21</v>
      </c>
      <c r="B22" s="3" t="inlineStr">
        <is>
          <t>Verify position is closed/removed after full unstake</t>
        </is>
      </c>
      <c r="C22" s="3" t="inlineStr">
        <is>
          <t>After a successful full unstake, refresh "My Positions"</t>
        </is>
      </c>
      <c r="D22" s="3" t="inlineStr">
        <is>
          <t>The position no longer appears in the active positions list (or is marked closed) and its account is closed on-chain</t>
        </is>
      </c>
      <c r="E22" s="3" t="inlineStr">
        <is>
          <t>Not tested</t>
        </is>
      </c>
      <c r="F22" s="3" t="inlineStr"/>
    </row>
    <row r="23">
      <c r="A23" s="3" t="n">
        <v>22</v>
      </c>
      <c r="B23" s="3" t="inlineStr">
        <is>
          <t>Verify final wallet balance reconciles</t>
        </is>
      </c>
      <c r="C23" s="3" t="inlineStr">
        <is>
          <t>Compare pre-stake and post-unstake MEX balances against principal + net rewards</t>
        </is>
      </c>
      <c r="D23" s="3" t="inlineStr">
        <is>
          <t>Final balance equals principal plus all claimed/compounded rewards minus nothing unaccounted for (no unexplained loss)</t>
        </is>
      </c>
      <c r="E23" s="3" t="inlineStr">
        <is>
          <t>Not tested</t>
        </is>
      </c>
      <c r="F23" s="3" t="inlineStr"/>
    </row>
    <row r="24">
      <c r="A24" s="3" t="n">
        <v>23</v>
      </c>
      <c r="B24" s="3" t="inlineStr">
        <is>
          <t>Create a second independent position while the first exists</t>
        </is>
      </c>
      <c r="C24" s="3" t="inlineStr">
        <is>
          <t>With one active/closed position already present, create another stake with different amount/tier</t>
        </is>
      </c>
      <c r="D24" s="3" t="inlineStr">
        <is>
          <t>Both positions are tracked independently with their own lock timers and balances</t>
        </is>
      </c>
      <c r="E24" s="3" t="inlineStr">
        <is>
          <t>Not tested</t>
        </is>
      </c>
      <c r="F24" s="3" t="inlineStr"/>
    </row>
    <row r="25">
      <c r="A25" s="3" t="n">
        <v>24</v>
      </c>
      <c r="B25" s="3" t="inlineStr">
        <is>
          <t>Verify no artificial limit on number of positions per wallet</t>
        </is>
      </c>
      <c r="C25" s="3" t="inlineStr">
        <is>
          <t>Create three or more simultaneous positions from the same wallet</t>
        </is>
      </c>
      <c r="D25" s="3" t="inlineStr">
        <is>
          <t>All positions are created successfully with no "max positions" error, consistent with "independent positions without a count limit"</t>
        </is>
      </c>
      <c r="E25" s="3" t="inlineStr">
        <is>
          <t>Not tested</t>
        </is>
      </c>
      <c r="F25" s="3" t="inlineStr"/>
    </row>
    <row r="26">
      <c r="A26" s="3" t="n">
        <v>25</v>
      </c>
      <c r="B26" s="3" t="inlineStr">
        <is>
          <t>Verify indexer/API reflects final on-chain state</t>
        </is>
      </c>
      <c r="C26" s="3" t="inlineStr">
        <is>
          <t>Query the read-only API for the test wallet after the smoke run completes</t>
        </is>
      </c>
      <c r="D26" s="3" t="inlineStr">
        <is>
          <t>API response matches on-chain state (positions, balances, streaks) with no stale or missing data</t>
        </is>
      </c>
      <c r="E26" s="3" t="inlineStr">
        <is>
          <t>Not tested</t>
        </is>
      </c>
      <c r="F26" s="3" t="inlineStr"/>
    </row>
  </sheetData>
  <dataValidations count="2">
    <dataValidation sqref="E2 E3 E4 E5 E6 E7 E8 E9 E10 E11 E12 E13 E14 E15 E16 E17 E18 E19 E20 E21 E22 E23 E24 E25 E26" showDropDown="0" showInputMessage="0" showErrorMessage="0" allowBlank="1" type="list">
      <formula1>"Not tested,Passed,Failed,Blocked,Skipped"</formula1>
    </dataValidation>
    <dataValidation sqref="F2 F3 F4 F5 F6 F7 F8 F9 F10 F11 F12 F13 F14 F15 F16 F17 F18 F19 F20 F21 F22 F23 F24 F25 F2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55" customWidth="1" min="4" max="4"/>
    <col width="14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How to test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Priority</t>
        </is>
      </c>
    </row>
    <row r="2">
      <c r="A2" s="3" t="n">
        <v>1</v>
      </c>
      <c r="B2" s="3" t="inlineStr">
        <is>
          <t>Access admin-only UI route without being a multisig signer</t>
        </is>
      </c>
      <c r="C2" s="3" t="inlineStr">
        <is>
          <t>Navigate directly to the admin/config URL with a non-signer wallet connected</t>
        </is>
      </c>
      <c r="D2" s="3" t="inlineStr">
        <is>
          <t>Route either redirects/hides admin controls, and any admin action attempted from it is rejected on-chain (not just hidden by the front end)</t>
        </is>
      </c>
      <c r="E2" s="3" t="inlineStr">
        <is>
          <t>Not tested</t>
        </is>
      </c>
      <c r="F2" s="3" t="inlineStr"/>
    </row>
    <row r="3">
      <c r="A3" s="3" t="n">
        <v>2</v>
      </c>
      <c r="B3" s="3" t="inlineStr">
        <is>
          <t>Call read-only API for another wallet's data without authorization</t>
        </is>
      </c>
      <c r="C3" s="3" t="inlineStr">
        <is>
          <t>Using DevTools/curl, request the API endpoint with an arbitrary wallet address that is not the connected one</t>
        </is>
      </c>
      <c r="D3" s="3" t="inlineStr">
        <is>
          <t>API returns data (by design, if truly read-only/public) or is explicitly rejected — verify the response matches the intended access model, not an accidental broader leak (e.g. internal fields, other users' PII)</t>
        </is>
      </c>
      <c r="E3" s="3" t="inlineStr">
        <is>
          <t>Not tested</t>
        </is>
      </c>
      <c r="F3" s="3" t="inlineStr"/>
    </row>
    <row r="4">
      <c r="A4" s="3" t="n">
        <v>3</v>
      </c>
      <c r="B4" s="3" t="inlineStr">
        <is>
          <t>Bypass "connect wallet" gate to reach staking actions</t>
        </is>
      </c>
      <c r="C4" s="3" t="inlineStr">
        <is>
          <t>Try to open the Stake/Claim/Unstake screens directly via URL without connecting a wallet</t>
        </is>
      </c>
      <c r="D4" s="3" t="inlineStr">
        <is>
          <t>Screens either require connection before allowing any signable action, or any attempt to build/sign a transaction fails gracefully</t>
        </is>
      </c>
      <c r="E4" s="3" t="inlineStr">
        <is>
          <t>Not tested</t>
        </is>
      </c>
      <c r="F4" s="3" t="inlineStr"/>
    </row>
    <row r="5">
      <c r="A5" s="3" t="n">
        <v>4</v>
      </c>
      <c r="B5" s="3" t="inlineStr">
        <is>
          <t>Submit stake instruction referencing a different wallet as the position owner (IDOR)</t>
        </is>
      </c>
      <c r="C5" s="3" t="inlineStr">
        <is>
          <t>Copy the stake request from the Network tab, replace the "owner"/"authority" account with a victim wallet's pubkey, sign with the attacker's key and submit</t>
        </is>
      </c>
      <c r="D5" s="3" t="inlineStr">
        <is>
          <t>Program rejects the transaction (owner/authority must match signer) — stake is not created against the victim's PDA</t>
        </is>
      </c>
      <c r="E5" s="3" t="inlineStr">
        <is>
          <t>Not tested</t>
        </is>
      </c>
      <c r="F5" s="3" t="inlineStr"/>
    </row>
    <row r="6">
      <c r="A6" s="3" t="n">
        <v>5</v>
      </c>
      <c r="B6" s="3" t="inlineStr">
        <is>
          <t>Submit claim instruction for a position owned by another wallet</t>
        </is>
      </c>
      <c r="C6" s="3" t="inlineStr">
        <is>
          <t>Modify the intercepted claim transaction to target another user's known position PDA while signing as attacker</t>
        </is>
      </c>
      <c r="D6" s="3" t="inlineStr">
        <is>
          <t>Program rejects the instruction because the signer is not the authority on that position account</t>
        </is>
      </c>
      <c r="E6" s="3" t="inlineStr">
        <is>
          <t>Not tested</t>
        </is>
      </c>
      <c r="F6" s="3" t="inlineStr"/>
    </row>
    <row r="7">
      <c r="A7" s="3" t="n">
        <v>6</v>
      </c>
      <c r="B7" s="3" t="inlineStr">
        <is>
          <t>Submit unstake instruction for a position PDA belonging to another wallet</t>
        </is>
      </c>
      <c r="C7" s="3" t="inlineStr">
        <is>
          <t>Modify the intercepted unstake transaction's position account to a victim's PDA, keep attacker as signer</t>
        </is>
      </c>
      <c r="D7" s="3" t="inlineStr">
        <is>
          <t>Program rejects the instruction</t>
        </is>
      </c>
      <c r="E7" s="3" t="inlineStr">
        <is>
          <t>Not tested</t>
        </is>
      </c>
      <c r="F7" s="3" t="inlineStr"/>
    </row>
    <row r="8">
      <c r="A8" s="3" t="n">
        <v>7</v>
      </c>
      <c r="B8" s="3" t="inlineStr">
        <is>
          <t>Attempt daily check-in on a position owned by another wallet</t>
        </is>
      </c>
      <c r="C8" s="3" t="inlineStr">
        <is>
          <t>Modify the intercepted check-in transaction to reference another user's position while signing as attacker</t>
        </is>
      </c>
      <c r="D8" s="3" t="inlineStr">
        <is>
          <t>Program rejects the check-in</t>
        </is>
      </c>
      <c r="E8" s="3" t="inlineStr">
        <is>
          <t>Not tested</t>
        </is>
      </c>
      <c r="F8" s="3" t="inlineStr"/>
    </row>
    <row r="9">
      <c r="A9" s="3" t="n">
        <v>8</v>
      </c>
      <c r="B9" s="3" t="inlineStr">
        <is>
          <t>Attempt to redirect claim/unstake payout to an arbitrary destination account</t>
        </is>
      </c>
      <c r="C9" s="3" t="inlineStr">
        <is>
          <t>Edit the destination token account in the intercepted transaction to an attacker-controlled ATA that isn't derived from the position owner</t>
        </is>
      </c>
      <c r="D9" s="3" t="inlineStr">
        <is>
          <t>Program validates the destination account is the owner's associated token account (or explicit owner check) and rejects mismatched destinations</t>
        </is>
      </c>
      <c r="E9" s="3" t="inlineStr">
        <is>
          <t>Not tested</t>
        </is>
      </c>
      <c r="F9" s="3" t="inlineStr"/>
    </row>
    <row r="10">
      <c r="A10" s="3" t="n">
        <v>9</v>
      </c>
      <c r="B10" s="3" t="inlineStr">
        <is>
          <t>Race two simultaneous stakes near the global cap boundary</t>
        </is>
      </c>
      <c r="C10" s="3" t="inlineStr">
        <is>
          <t>From two wallets, submit stakes simultaneously that would jointly push total staked just over the 30,000,000 MEX global cap</t>
        </is>
      </c>
      <c r="D10" s="3" t="inlineStr">
        <is>
          <t>Only stakes that keep the total at or under the cap succeed</t>
        </is>
      </c>
      <c r="E10" s="3" t="inlineStr">
        <is>
          <t>Not tested</t>
        </is>
      </c>
      <c r="F10" s="3" t="inlineStr"/>
    </row>
    <row r="11">
      <c r="A11" s="3" t="n">
        <v>10</v>
      </c>
      <c r="B11" s="3" t="inlineStr">
        <is>
          <t>Race two simultaneous stakes near the per-wallet cap boundary</t>
        </is>
      </c>
      <c r="C11" s="3" t="inlineStr">
        <is>
          <t>From the same wallet, fire two stake transactions concurrently that would jointly exceed the 500,000 MEX per-wallet cap</t>
        </is>
      </c>
      <c r="D11" s="3" t="inlineStr">
        <is>
          <t>Only the portion within the cap succeeds</t>
        </is>
      </c>
      <c r="E11" s="3" t="inlineStr">
        <is>
          <t>Not tested</t>
        </is>
      </c>
      <c r="F11" s="3" t="inlineStr"/>
    </row>
    <row r="12">
      <c r="A12" s="3" t="n">
        <v>11</v>
      </c>
      <c r="B12" s="3" t="inlineStr">
        <is>
          <t>Race claim and compound on the same position</t>
        </is>
      </c>
      <c r="C12" s="3" t="inlineStr">
        <is>
          <t>Trigger "Claim" and "Compound" on the same position at nearly the same time (two browser tabs / two quick clicks)</t>
        </is>
      </c>
      <c r="D12" s="3" t="inlineStr">
        <is>
          <t>Only one action succeeds per reward unit</t>
        </is>
      </c>
      <c r="E12" s="3" t="inlineStr">
        <is>
          <t>Not tested</t>
        </is>
      </c>
      <c r="F12" s="3" t="inlineStr"/>
    </row>
    <row r="13">
      <c r="A13" s="3" t="n">
        <v>12</v>
      </c>
      <c r="B13" s="3" t="inlineStr">
        <is>
          <t>Race two unstake requests on the same position</t>
        </is>
      </c>
      <c r="C13" s="3" t="inlineStr">
        <is>
          <t>Submit two unstake transactions for the same position in quick succession</t>
        </is>
      </c>
      <c r="D13" s="3" t="inlineStr">
        <is>
          <t>Only the first succeeds</t>
        </is>
      </c>
      <c r="E13" s="3" t="inlineStr">
        <is>
          <t>Not tested</t>
        </is>
      </c>
      <c r="F13" s="3" t="inlineStr"/>
    </row>
    <row r="14">
      <c r="A14" s="3" t="n">
        <v>13</v>
      </c>
      <c r="B14" s="3" t="inlineStr">
        <is>
          <t>Race two check-ins on the same position within the same day</t>
        </is>
      </c>
      <c r="C14" s="3" t="inlineStr">
        <is>
          <t>Send two check-in transactions back-to-back for the same position</t>
        </is>
      </c>
      <c r="D14" s="3" t="inlineStr">
        <is>
          <t>Only one check-in per day is recorded</t>
        </is>
      </c>
      <c r="E14" s="3" t="inlineStr">
        <is>
          <t>Not tested</t>
        </is>
      </c>
      <c r="F14" s="3" t="inlineStr"/>
    </row>
    <row r="15">
      <c r="A15" s="3" t="n">
        <v>14</v>
      </c>
      <c r="B15" s="3" t="inlineStr">
        <is>
          <t>Race check-in and unstake on a position at unlock time</t>
        </is>
      </c>
      <c r="C15" s="3" t="inlineStr">
        <is>
          <t>Submit a check-in and an unstake instruction for the same position at the moment it unlocks</t>
        </is>
      </c>
      <c r="D15" s="3" t="inlineStr">
        <is>
          <t>Both resolve consistently with the documented order of operations</t>
        </is>
      </c>
      <c r="E15" s="3" t="inlineStr">
        <is>
          <t>Not tested</t>
        </is>
      </c>
      <c r="F15" s="3" t="inlineStr"/>
    </row>
    <row r="16">
      <c r="A16" s="3" t="n">
        <v>15</v>
      </c>
      <c r="B16" s="3" t="inlineStr">
        <is>
          <t>Bypass front-end minimum stake amount</t>
        </is>
      </c>
      <c r="C16" s="3" t="inlineStr">
        <is>
          <t>Intercept the stake request, lower the amount below the UI-enforced minimum, sign and submit directly</t>
        </is>
      </c>
      <c r="D16" s="3" t="inlineStr">
        <is>
          <t>Program-level minimum (if any) rejects the amount, or if there is no on-chain minimum this is flagged as a gap between UI and contract validation</t>
        </is>
      </c>
      <c r="E16" s="3" t="inlineStr">
        <is>
          <t>Not tested</t>
        </is>
      </c>
      <c r="F16" s="3" t="inlineStr"/>
    </row>
    <row r="17">
      <c r="A17" s="3" t="n">
        <v>16</v>
      </c>
      <c r="B17" s="3" t="inlineStr">
        <is>
          <t>Bypass front-end per-wallet cap check via crafted instruction</t>
        </is>
      </c>
      <c r="C17" s="3" t="inlineStr">
        <is>
          <t>Build/submit a stake instruction directly (bypassing the UI form) for an amount that would exceed the 500,000 MEX per-wallet cap</t>
        </is>
      </c>
      <c r="D17" s="3" t="inlineStr">
        <is>
          <t>Program rejects the excess amount (currently expected to fail since the cap isn't implemented on-chain per PRD)</t>
        </is>
      </c>
      <c r="E17" s="3" t="inlineStr">
        <is>
          <t>Not tested</t>
        </is>
      </c>
      <c r="F17" s="3" t="inlineStr"/>
    </row>
    <row r="18">
      <c r="A18" s="3" t="n">
        <v>17</v>
      </c>
      <c r="B18" s="3" t="inlineStr">
        <is>
          <t>Bypass front-end global cap check via crafted instruction</t>
        </is>
      </c>
      <c r="C18" s="3" t="inlineStr">
        <is>
          <t>Build/submit a stake instruction directly for an amount that would push total pool stake over 30,000,000 MEX</t>
        </is>
      </c>
      <c r="D18" s="3" t="inlineStr">
        <is>
          <t>Program rejects the excess amount (currently expected to fail since the cap isn't implemented on-chain per PRD)</t>
        </is>
      </c>
      <c r="E18" s="3" t="inlineStr">
        <is>
          <t>Not tested</t>
        </is>
      </c>
      <c r="F18" s="3" t="inlineStr"/>
    </row>
    <row r="19">
      <c r="A19" s="3" t="n">
        <v>18</v>
      </c>
      <c r="B19" s="3" t="inlineStr">
        <is>
          <t>Bypass "already checked in today" UI lock</t>
        </is>
      </c>
      <c r="C19" s="3" t="inlineStr">
        <is>
          <t>Directly resend the check-in instruction from Network tab multiple times within the same day, bypassing the disabled button</t>
        </is>
      </c>
      <c r="D19" s="3" t="inlineStr">
        <is>
          <t>Program rejects check-ins beyond one per day regardless of UI state</t>
        </is>
      </c>
      <c r="E19" s="3" t="inlineStr">
        <is>
          <t>Not tested</t>
        </is>
      </c>
      <c r="F19" s="3" t="inlineStr"/>
    </row>
    <row r="20">
      <c r="A20" s="3" t="n">
        <v>19</v>
      </c>
      <c r="B20" s="3" t="inlineStr">
        <is>
          <t>Bypass "locked, cannot unstake" UI restriction</t>
        </is>
      </c>
      <c r="C20" s="3" t="inlineStr">
        <is>
          <t>Directly submit the unstake instruction copied from Network tab for a position still within its lock window</t>
        </is>
      </c>
      <c r="D20" s="3" t="inlineStr">
        <is>
          <t>Program rejects the unstake based on on-chain lock-end timestamp, independent of what the UI allowed to be built</t>
        </is>
      </c>
      <c r="E20" s="3" t="inlineStr">
        <is>
          <t>Not tested</t>
        </is>
      </c>
      <c r="F20" s="3" t="inlineStr"/>
    </row>
    <row r="21">
      <c r="A21" s="3" t="n">
        <v>20</v>
      </c>
      <c r="B21" s="3" t="inlineStr">
        <is>
          <t>Submit a zero-amount stake instruction</t>
        </is>
      </c>
      <c r="C21" s="3" t="inlineStr">
        <is>
          <t>Craft and submit a stake transaction with amount = 0</t>
        </is>
      </c>
      <c r="D21" s="3" t="inlineStr">
        <is>
          <t>Program rejects zero-amount stakes with a clear error, no position/account is created</t>
        </is>
      </c>
      <c r="E21" s="3" t="inlineStr">
        <is>
          <t>Not tested</t>
        </is>
      </c>
      <c r="F21" s="3" t="inlineStr"/>
    </row>
    <row r="22">
      <c r="A22" s="3" t="n">
        <v>21</v>
      </c>
      <c r="B22" s="3" t="inlineStr">
        <is>
          <t>Submit a negative or overflow amount for stake</t>
        </is>
      </c>
      <c r="C22" s="3" t="inlineStr">
        <is>
          <t>Craft a stake instruction with a negative (if representable) or numerically overflowing amount value</t>
        </is>
      </c>
      <c r="D22" s="3" t="inlineStr">
        <is>
          <t>Program rejects the malformed amount</t>
        </is>
      </c>
      <c r="E22" s="3" t="inlineStr">
        <is>
          <t>Not tested</t>
        </is>
      </c>
      <c r="F22" s="3" t="inlineStr"/>
    </row>
    <row r="23">
      <c r="A23" s="3" t="n">
        <v>22</v>
      </c>
      <c r="B23" s="3" t="inlineStr">
        <is>
          <t>Submit a stake instruction with amount exceeding wallet's actual MEX balance</t>
        </is>
      </c>
      <c r="C23" s="3" t="inlineStr">
        <is>
          <t>Craft a stake transaction requesting more MEX than the wallet holds, submit directly</t>
        </is>
      </c>
      <c r="D23" s="3" t="inlineStr">
        <is>
          <t>Transaction fails at the token-transfer level (insufficient funds)</t>
        </is>
      </c>
      <c r="E23" s="3" t="inlineStr">
        <is>
          <t>Not tested</t>
        </is>
      </c>
      <c r="F23" s="3" t="inlineStr"/>
    </row>
    <row r="24">
      <c r="A24" s="3" t="n">
        <v>23</v>
      </c>
      <c r="B24" s="3" t="inlineStr">
        <is>
          <t>Tamper with displayed APR/rate value client-side and attempt to claim based on it</t>
        </is>
      </c>
      <c r="C24" s="3" t="inlineStr">
        <is>
          <t>Use DevTools to modify the rendered rate/APR value, then trigger claim</t>
        </is>
      </c>
      <c r="D24" s="3" t="inlineStr">
        <is>
          <t>Actual paid-out amount is computed and enforced by the program from on-chain state, not from the tampered display value</t>
        </is>
      </c>
      <c r="E24" s="3" t="inlineStr">
        <is>
          <t>Not tested</t>
        </is>
      </c>
      <c r="F24" s="3" t="inlineStr"/>
    </row>
    <row r="25">
      <c r="A25" s="3" t="n">
        <v>24</v>
      </c>
      <c r="B25" s="3" t="inlineStr">
        <is>
          <t>Attempt to skip wallet's signature by replaying a pre-approved transaction payload</t>
        </is>
      </c>
      <c r="C25" s="3" t="inlineStr">
        <is>
          <t>Capture a previously built (unsigned) transaction payload from the Network tab and attempt to resubmit it without a fresh signature</t>
        </is>
      </c>
      <c r="D25" s="3" t="inlineStr">
        <is>
          <t>Submission fails without a valid, matching signature from the required signer</t>
        </is>
      </c>
      <c r="E25" s="3" t="inlineStr">
        <is>
          <t>Not tested</t>
        </is>
      </c>
      <c r="F25" s="3" t="inlineStr"/>
    </row>
    <row r="26">
      <c r="A26" s="3" t="n">
        <v>25</v>
      </c>
      <c r="B26" s="3" t="inlineStr">
        <is>
          <t>Access the indexer's internal/administrative endpoints if exposed</t>
        </is>
      </c>
      <c r="C26" s="3" t="inlineStr">
        <is>
          <t>Enumerate API routes found in the front-end bundle/Network tab for anything beyond the documented read-only endpoints</t>
        </is>
      </c>
      <c r="D26" s="3" t="inlineStr">
        <is>
          <t>No write/administrative capability is exposed on endpoints that are supposed to be read-only</t>
        </is>
      </c>
      <c r="E26" s="3" t="inlineStr">
        <is>
          <t>Not tested</t>
        </is>
      </c>
      <c r="F26" s="3" t="inlineStr"/>
    </row>
    <row r="27">
      <c r="A27" s="3" t="n">
        <v>26</v>
      </c>
      <c r="B27" s="3" t="inlineStr">
        <is>
          <t>Check for sensitive data exposure in front-end bundle or API responses</t>
        </is>
      </c>
      <c r="C27" s="3" t="inlineStr">
        <is>
          <t>Search the JS bundle and API responses (via DevTools) for private keys, admin secrets, or internal service URLs</t>
        </is>
      </c>
      <c r="D27" s="3" t="inlineStr">
        <is>
          <t>No secrets/keys beyond what's required for public RPC access are present in client-visible code or responses</t>
        </is>
      </c>
      <c r="E27" s="3" t="inlineStr">
        <is>
          <t>Not tested</t>
        </is>
      </c>
      <c r="F27" s="3" t="inlineStr"/>
    </row>
    <row r="28">
      <c r="A28" s="3" t="n">
        <v>27</v>
      </c>
      <c r="B28" s="3" t="inlineStr">
        <is>
          <t>Attempt cross-wallet session confusion by switching Phantom account mid-session</t>
        </is>
      </c>
      <c r="C28" s="3" t="inlineStr">
        <is>
          <t>Connect wallet A, open a position's action modal, switch Phantom to wallet B without reloading, then submit</t>
        </is>
      </c>
      <c r="D28" s="3" t="inlineStr">
        <is>
          <t>The app either forces a reload/reconnect flow or correctly rebuilds the transaction for the newly active wallet B (no action is silently signed/attributed to the wrong wallet)</t>
        </is>
      </c>
      <c r="E28" s="3" t="inlineStr">
        <is>
          <t>Not tested</t>
        </is>
      </c>
      <c r="F28" s="3" t="inlineStr"/>
    </row>
    <row r="29">
      <c r="A29" s="3" t="n">
        <v>28</v>
      </c>
      <c r="B29" s="3" t="inlineStr">
        <is>
          <t>Verify client-side validation errors have matching on-chain enforcement for every blocked action found above</t>
        </is>
      </c>
      <c r="C29" s="3" t="inlineStr">
        <is>
          <t>For each case where the UI blocks an action, also attempt the equivalent raw instruction via DevTools-copied request</t>
        </is>
      </c>
      <c r="D29" s="3" t="inlineStr">
        <is>
          <t>Every UI-side restriction has an equivalent on-chain check</t>
        </is>
      </c>
      <c r="E29" s="3" t="inlineStr">
        <is>
          <t>Not tested</t>
        </is>
      </c>
      <c r="F29" s="3" t="inlineStr"/>
    </row>
  </sheetData>
  <dataValidations count="2">
    <dataValidation sqref="E2 E3 E4 E5 E6 E7 E8 E9 E10 E11 E12 E13 E14 E15 E16 E17 E18 E19 E20 E21 E22 E23 E24 E25 E26 E27 E28 E29" showDropDown="0" showInputMessage="0" showErrorMessage="0" allowBlank="1" type="list">
      <formula1>"Not tested,Passed,Failed,Blocked,Skipped"</formula1>
    </dataValidation>
    <dataValidation sqref="F2 F3 F4 F5 F6 F7 F8 F9 F10 F11 F12 F13 F14 F15 F16 F17 F18 F19 F20 F21 F22 F23 F24 F25 F26 F27 F28 F29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55" customWidth="1" min="4" max="4"/>
    <col width="14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How to test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Priority</t>
        </is>
      </c>
    </row>
    <row r="2">
      <c r="A2" s="3" t="n">
        <v>1</v>
      </c>
      <c r="B2" s="3" t="inlineStr">
        <is>
          <t>Verify rent-exempt minimum is reserved for new position account</t>
        </is>
      </c>
      <c r="C2" s="3" t="inlineStr">
        <is>
          <t>Create a new staking position and inspect the lamports balance of the created position PDA on a devnet explorer</t>
        </is>
      </c>
      <c r="D2" s="3" t="inlineStr">
        <is>
          <t>Position account holds at least the rent-exempt minimum for its data size, paid by the staker</t>
        </is>
      </c>
      <c r="E2" s="3" t="inlineStr">
        <is>
          <t>Not tested</t>
        </is>
      </c>
      <c r="F2" s="3" t="inlineStr"/>
    </row>
    <row r="3">
      <c r="A3" s="3" t="n">
        <v>2</v>
      </c>
      <c r="B3" s="3" t="inlineStr">
        <is>
          <t>Verify ATA is created once per (wallet, mint) and reused</t>
        </is>
      </c>
      <c r="C3" s="3" t="inlineStr">
        <is>
          <t>Stake twice from the same wallet and inspect whether a new associated token account is created each time</t>
        </is>
      </c>
      <c r="D3" s="3" t="inlineStr">
        <is>
          <t>The MEX ATA is created only on the first interaction and reused on subsequent stakes</t>
        </is>
      </c>
      <c r="E3" s="3" t="inlineStr">
        <is>
          <t>Not tested</t>
        </is>
      </c>
      <c r="F3" s="3" t="inlineStr"/>
    </row>
    <row r="4">
      <c r="A4" s="3" t="n">
        <v>3</v>
      </c>
      <c r="B4" s="3" t="inlineStr">
        <is>
          <t>Verify rent is refunded when a position account is closed</t>
        </is>
      </c>
      <c r="C4" s="3" t="inlineStr">
        <is>
          <t>Fully unstake a position so its account is closed, then check the wallet's SOL balance change</t>
        </is>
      </c>
      <c r="D4" s="3" t="inlineStr">
        <is>
          <t>Rent lamports from the closed position account are returned to the appropriate owner (staker or fee payer, per design) minus network fees</t>
        </is>
      </c>
      <c r="E4" s="3" t="inlineStr">
        <is>
          <t>Not tested</t>
        </is>
      </c>
      <c r="F4" s="3" t="inlineStr"/>
    </row>
    <row r="5">
      <c r="A5" s="3" t="n">
        <v>4</v>
      </c>
      <c r="B5" s="3" t="inlineStr">
        <is>
          <t>Create multiple concurrent positions and test batch claim compute budget</t>
        </is>
      </c>
      <c r="C5" s="3" t="inlineStr">
        <is>
          <t>Open 8–10+ independent positions from one wallet, then attempt to claim/compound all of them in as few transactions as the UI supports</t>
        </is>
      </c>
      <c r="D5" s="3" t="inlineStr">
        <is>
          <t>All claims complete without hitting the compute budget limit, or the UI correctly batches/paginates instructions across multiple transactions when the limit would be exceeded</t>
        </is>
      </c>
      <c r="E5" s="3" t="inlineStr">
        <is>
          <t>Not tested</t>
        </is>
      </c>
      <c r="F5" s="3" t="inlineStr"/>
    </row>
    <row r="6">
      <c r="A6" s="3" t="n">
        <v>5</v>
      </c>
      <c r="B6" s="3" t="inlineStr">
        <is>
          <t>Verify per-transaction compute budget headroom on claim-all</t>
        </is>
      </c>
      <c r="C6" s="3" t="inlineStr">
        <is>
          <t>Use a devnet explorer to inspect compute units consumed by a "claim all positions" transaction with many positions</t>
        </is>
      </c>
      <c r="D6" s="3" t="inlineStr">
        <is>
          <t>Compute units consumed stay under the network's per-transaction limit (or the app explicitly requests a higher compute budget via `ComputeBudgetProgram` and it's still within protocol limits)</t>
        </is>
      </c>
      <c r="E6" s="3" t="inlineStr">
        <is>
          <t>Not tested</t>
        </is>
      </c>
      <c r="F6" s="3" t="inlineStr"/>
    </row>
    <row r="7">
      <c r="A7" s="3" t="n">
        <v>6</v>
      </c>
      <c r="B7" s="3" t="inlineStr">
        <is>
          <t>Attempt to pass a PDA with incorrect seeds as the position account</t>
        </is>
      </c>
      <c r="C7" s="3" t="inlineStr">
        <is>
          <t>Modify the intercepted transaction to reference a manually derived (wrong-seed) PDA instead of the real position account, then submit</t>
        </is>
      </c>
      <c r="D7" s="3" t="inlineStr">
        <is>
          <t>Program's account validation (seeds/bump check) rejects the mismatched PDA</t>
        </is>
      </c>
      <c r="E7" s="3" t="inlineStr">
        <is>
          <t>Not tested</t>
        </is>
      </c>
      <c r="F7" s="3" t="inlineStr"/>
    </row>
    <row r="8">
      <c r="A8" s="3" t="n">
        <v>7</v>
      </c>
      <c r="B8" s="3" t="inlineStr">
        <is>
          <t>Attempt to pass an account from a different program as the position account</t>
        </is>
      </c>
      <c r="C8" s="3" t="inlineStr">
        <is>
          <t>Substitute the position account field with an account owned by an unrelated program (e.g. the System Program's rent sysvar or another dApp's account)</t>
        </is>
      </c>
      <c r="D8" s="3" t="inlineStr">
        <is>
          <t>Program rejects the instruction due to owner/discriminator mismatch on the substituted account</t>
        </is>
      </c>
      <c r="E8" s="3" t="inlineStr">
        <is>
          <t>Not tested</t>
        </is>
      </c>
      <c r="F8" s="3" t="inlineStr"/>
    </row>
    <row r="9">
      <c r="A9" s="3" t="n">
        <v>8</v>
      </c>
      <c r="B9" s="3" t="inlineStr">
        <is>
          <t>Attempt to substitute the pool config account with an attacker-controlled account</t>
        </is>
      </c>
      <c r="C9" s="3" t="inlineStr">
        <is>
          <t>In an admin-adjacent or stake instruction, replace the expected global pool-config account with a fake account crafted by the attacker</t>
        </is>
      </c>
      <c r="D9" s="3" t="inlineStr">
        <is>
          <t>Program validates the pool-config account against its expected address/PDA and rejects the substitution</t>
        </is>
      </c>
      <c r="E9" s="3" t="inlineStr">
        <is>
          <t>Not tested</t>
        </is>
      </c>
      <c r="F9" s="3" t="inlineStr"/>
    </row>
    <row r="10">
      <c r="A10" s="3" t="n">
        <v>9</v>
      </c>
      <c r="B10" s="3" t="inlineStr">
        <is>
          <t>Verify program derives and validates PDAs server-side, not trusting client-supplied pubkeys</t>
        </is>
      </c>
      <c r="C10" s="3" t="inlineStr">
        <is>
          <t>Review/observe on-chain behavior when supplying a syntactically valid but not-derived-from-seeds pubkey for any PDA account argument</t>
        </is>
      </c>
      <c r="D10" s="3" t="inlineStr">
        <is>
          <t>Program independently derives the expected PDA and rejects the instruction if the supplied account doesn't match</t>
        </is>
      </c>
      <c r="E10" s="3" t="inlineStr">
        <is>
          <t>Not tested</t>
        </is>
      </c>
      <c r="F10" s="3" t="inlineStr"/>
    </row>
    <row r="11">
      <c r="A11" s="3" t="n">
        <v>10</v>
      </c>
      <c r="B11" s="3" t="inlineStr">
        <is>
          <t>Verify lock-end timestamp is computed from on-chain Clock, not client time</t>
        </is>
      </c>
      <c r="C11" s="3" t="inlineStr">
        <is>
          <t>Change the local device clock forward by several days, then check the displayed and enforced lock/unlock state for an active position</t>
        </is>
      </c>
      <c r="D11" s="3" t="inlineStr">
        <is>
          <t>Lock/unlock state is unaffected by the device clock change</t>
        </is>
      </c>
      <c r="E11" s="3" t="inlineStr">
        <is>
          <t>Not tested</t>
        </is>
      </c>
      <c r="F11" s="3" t="inlineStr"/>
    </row>
    <row r="12">
      <c r="A12" s="3" t="n">
        <v>11</v>
      </c>
      <c r="B12" s="3" t="inlineStr">
        <is>
          <t>Verify check-in day boundary uses on-chain Clock</t>
        </is>
      </c>
      <c r="C12" s="3" t="inlineStr">
        <is>
          <t>Attempt a second check-in right around local midnight while the device clock is skewed relative to UTC</t>
        </is>
      </c>
      <c r="D12" s="3" t="inlineStr">
        <is>
          <t>One check-in per day is enforced based on on-chain time, not the skewed local device time</t>
        </is>
      </c>
      <c r="E12" s="3" t="inlineStr">
        <is>
          <t>Not tested</t>
        </is>
      </c>
      <c r="F12" s="3" t="inlineStr"/>
    </row>
    <row r="13">
      <c r="A13" s="3" t="n">
        <v>12</v>
      </c>
      <c r="B13" s="3" t="inlineStr">
        <is>
          <t>Verify behavior right at a day boundary (UTC midnight) for check-in</t>
        </is>
      </c>
      <c r="C13" s="3" t="inlineStr">
        <is>
          <t>Perform a check-in a few minutes before and a few minutes after a UTC day boundary</t>
        </is>
      </c>
      <c r="D13" s="3" t="inlineStr">
        <is>
          <t>Check-ins on either side of the real on-chain day boundary are treated as separate days</t>
        </is>
      </c>
      <c r="E13" s="3" t="inlineStr">
        <is>
          <t>Not tested</t>
        </is>
      </c>
      <c r="F13" s="3" t="inlineStr"/>
    </row>
    <row r="14">
      <c r="A14" s="3" t="n">
        <v>13</v>
      </c>
      <c r="B14" s="3" t="inlineStr">
        <is>
          <t>Attempt to replay a previously confirmed stake transaction</t>
        </is>
      </c>
      <c r="C14" s="3" t="inlineStr">
        <is>
          <t>Resubmit the exact same fully-signed stake transaction (same signature, same recent blockhash) after it has already been confirmed</t>
        </is>
      </c>
      <c r="D14" s="3" t="inlineStr">
        <is>
          <t>Second submission is rejected (duplicate signature / already processed), no double stake is created</t>
        </is>
      </c>
      <c r="E14" s="3" t="inlineStr">
        <is>
          <t>Not tested</t>
        </is>
      </c>
      <c r="F14" s="3" t="inlineStr"/>
    </row>
    <row r="15">
      <c r="A15" s="3" t="n">
        <v>14</v>
      </c>
      <c r="B15" s="3" t="inlineStr">
        <is>
          <t>Attempt to replay a claim transaction using an expired blockhash</t>
        </is>
      </c>
      <c r="C15" s="3" t="inlineStr">
        <is>
          <t>Take an old signed claim transaction referencing a blockhash that has since expired and resubmit it</t>
        </is>
      </c>
      <c r="D15" s="3" t="inlineStr">
        <is>
          <t>Transaction is rejected with a blockhash-not-found/expired error</t>
        </is>
      </c>
      <c r="E15" s="3" t="inlineStr">
        <is>
          <t>Not tested</t>
        </is>
      </c>
      <c r="F15" s="3" t="inlineStr"/>
    </row>
    <row r="16">
      <c r="A16" s="3" t="n">
        <v>15</v>
      </c>
      <c r="B16" s="3" t="inlineStr">
        <is>
          <t>Verify recent-blockhash expiry invalidates stale transactions</t>
        </is>
      </c>
      <c r="C16" s="3" t="inlineStr">
        <is>
          <t>Build and sign a transaction, wait past the ~60-90 second blockhash validity window, then submit</t>
        </is>
      </c>
      <c r="D16" s="3" t="inlineStr">
        <is>
          <t>Submission fails due to expired blockhash rather than executing with stale context</t>
        </is>
      </c>
      <c r="E16" s="3" t="inlineStr">
        <is>
          <t>Not tested</t>
        </is>
      </c>
      <c r="F16" s="3" t="inlineStr"/>
    </row>
    <row r="17">
      <c r="A17" s="3" t="n">
        <v>16</v>
      </c>
      <c r="B17" s="3" t="inlineStr">
        <is>
          <t>Verify transaction atomicity on a forced mid-instruction failure</t>
        </is>
      </c>
      <c r="C17" s="3" t="inlineStr">
        <is>
          <t>Construct a scenario where a later instruction in a multi-instruction transaction should fail (e.g. insufficient balance for a compound-then-transfer sequence) and submit it</t>
        </is>
      </c>
      <c r="D17" s="3" t="inlineStr">
        <is>
          <t>The entire transaction fails and rolls back</t>
        </is>
      </c>
      <c r="E17" s="3" t="inlineStr">
        <is>
          <t>Not tested</t>
        </is>
      </c>
      <c r="F17" s="3" t="inlineStr"/>
    </row>
    <row r="18">
      <c r="A18" s="3" t="n">
        <v>17</v>
      </c>
      <c r="B18" s="3" t="inlineStr">
        <is>
          <t>Verify network fee is still charged on a failed transaction</t>
        </is>
      </c>
      <c r="C18" s="3" t="inlineStr">
        <is>
          <t>Submit a transaction that is expected to fail on-chain validation (e.g. blocked unstake before unlock) and check the fee payer's SOL balance before/after</t>
        </is>
      </c>
      <c r="D18" s="3" t="inlineStr">
        <is>
          <t>SOL balance decreases by the base transaction fee even though the transaction's instructions did not succeed</t>
        </is>
      </c>
      <c r="E18" s="3" t="inlineStr">
        <is>
          <t>Not tested</t>
        </is>
      </c>
      <c r="F18" s="3" t="inlineStr"/>
    </row>
    <row r="19">
      <c r="A19" s="3" t="n">
        <v>18</v>
      </c>
      <c r="B19" s="3" t="inlineStr">
        <is>
          <t>Verify rent is paid correctly when auto-compound-at-unlock needs to open new accounts</t>
        </is>
      </c>
      <c r="C19" s="3" t="inlineStr">
        <is>
          <t>Trigger the unlock/auto-compound flow on a position where an additional account must be created as part of settling rewards</t>
        </is>
      </c>
      <c r="D19" s="3" t="inlineStr">
        <is>
          <t>Any new account's rent is covered within the same transaction and correctly attributed to the paying party, with no follow-up "insufficient funds" failure</t>
        </is>
      </c>
      <c r="E19" s="3" t="inlineStr">
        <is>
          <t>Not tested</t>
        </is>
      </c>
      <c r="F19" s="3" t="inlineStr"/>
    </row>
    <row r="20">
      <c r="A20" s="3" t="n">
        <v>19</v>
      </c>
      <c r="B20" s="3" t="inlineStr">
        <is>
          <t>Verify multisig requires the configured signature threshold for admin actions</t>
        </is>
      </c>
      <c r="C20" s="3" t="inlineStr">
        <is>
          <t>Attempt to execute a Squads admin action (e.g. pause staking, update config) with fewer signatures than the configured threshold</t>
        </is>
      </c>
      <c r="D20" s="3" t="inlineStr">
        <is>
          <t>Action does not execute until the threshold number of valid signer approvals is reached</t>
        </is>
      </c>
      <c r="E20" s="3" t="inlineStr">
        <is>
          <t>Not tested</t>
        </is>
      </c>
      <c r="F20" s="3" t="inlineStr"/>
    </row>
    <row r="21">
      <c r="A21" s="3" t="n">
        <v>20</v>
      </c>
      <c r="B21" s="3" t="inlineStr">
        <is>
          <t>Attempt an admin action with an unauthorized (non-member) signer</t>
        </is>
      </c>
      <c r="C21" s="3" t="inlineStr">
        <is>
          <t>Have a wallet that is not a member of the Squads multisig attempt to approve/execute an admin instruction</t>
        </is>
      </c>
      <c r="D21" s="3" t="inlineStr">
        <is>
          <t>Approval/execution is rejected</t>
        </is>
      </c>
      <c r="E21" s="3" t="inlineStr">
        <is>
          <t>Not tested</t>
        </is>
      </c>
      <c r="F21" s="3" t="inlineStr"/>
    </row>
    <row r="22">
      <c r="A22" s="3" t="n">
        <v>21</v>
      </c>
      <c r="B22" s="3" t="inlineStr">
        <is>
          <t>Verify a rejected/cancelled multisig proposal does not execute</t>
        </is>
      </c>
      <c r="C22" s="3" t="inlineStr">
        <is>
          <t>Create a Squads proposal for an admin action, have members reject or cancel it before reaching threshold</t>
        </is>
      </c>
      <c r="D22" s="3" t="inlineStr">
        <is>
          <t>Proposal is marked rejected/cancelled and the underlying instruction never executes on-chain</t>
        </is>
      </c>
      <c r="E22" s="3" t="inlineStr">
        <is>
          <t>Not tested</t>
        </is>
      </c>
      <c r="F22" s="3" t="inlineStr"/>
    </row>
    <row r="23">
      <c r="A23" s="3" t="n">
        <v>22</v>
      </c>
      <c r="B23" s="3" t="inlineStr">
        <is>
          <t>Verify multisig proposal expiration behaves correctly</t>
        </is>
      </c>
      <c r="C23" s="3" t="inlineStr">
        <is>
          <t>Create a proposal and let it sit unexecuted past any configured expiration window</t>
        </is>
      </c>
      <c r="D23" s="3" t="inlineStr">
        <is>
          <t>Expired proposal cannot be executed even if threshold is later reached, per Squads' expiration rules</t>
        </is>
      </c>
      <c r="E23" s="3" t="inlineStr">
        <is>
          <t>Not tested</t>
        </is>
      </c>
      <c r="F23" s="3" t="inlineStr"/>
    </row>
    <row r="24">
      <c r="A24" s="3" t="n">
        <v>23</v>
      </c>
      <c r="B24" s="3" t="inlineStr">
        <is>
          <t>Verify indexer stays consistent with on-chain state after an admin/config change</t>
        </is>
      </c>
      <c r="C24" s="3" t="inlineStr">
        <is>
          <t>Have the multisig execute a config change (e.g. update to a parameter) and then query the indexer/read-only API shortly after</t>
        </is>
      </c>
      <c r="D24" s="3" t="inlineStr">
        <is>
          <t>Indexer reflects the updated on-chain state within its expected sync latency, with no stale cached values served indefinitely</t>
        </is>
      </c>
      <c r="E24" s="3" t="inlineStr">
        <is>
          <t>Not tested</t>
        </is>
      </c>
      <c r="F24" s="3" t="inlineStr"/>
    </row>
    <row r="25">
      <c r="A25" s="3" t="n">
        <v>24</v>
      </c>
      <c r="B25" s="3" t="inlineStr">
        <is>
          <t>Verify ATA/account rent accounting does not leak lamports on repeated stake/unstake cycles</t>
        </is>
      </c>
      <c r="C25" s="3" t="inlineStr">
        <is>
          <t>Perform several full stake-then-unstake cycles on the same wallet and track cumulative SOL spent beyond documented network fees</t>
        </is>
      </c>
      <c r="D25" s="3" t="inlineStr">
        <is>
          <t>No unexplained SOL/lamport loss occurs beyond rent (correctly refunded on close) and standard transaction fees</t>
        </is>
      </c>
      <c r="E25" s="3" t="inlineStr">
        <is>
          <t>Not tested</t>
        </is>
      </c>
      <c r="F25" s="3" t="inlineStr"/>
    </row>
  </sheetData>
  <dataValidations count="2">
    <dataValidation sqref="E2 E3 E4 E5 E6 E7 E8 E9 E10 E11 E12 E13 E14 E15 E16 E17 E18 E19 E20 E21 E22 E23 E24 E25" showDropDown="0" showInputMessage="0" showErrorMessage="0" allowBlank="1" type="list">
      <formula1>"Not tested,Passed,Failed,Blocked,Skipped"</formula1>
    </dataValidation>
    <dataValidation sqref="F2 F3 F4 F5 F6 F7 F8 F9 F10 F11 F12 F13 F14 F15 F16 F17 F18 F19 F20 F21 F22 F23 F24 F25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2026-08-21T12:58:39Z</dcterms:created>
  <dcterms:modified xsi:type="dcterms:W3CDTF">2026-08-21T12:58:39Z</dcterms:modified>
</cp:coreProperties>
</file>